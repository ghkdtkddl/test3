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h\work\ust21\2025\기타\"/>
    </mc:Choice>
  </mc:AlternateContent>
  <xr:revisionPtr revIDLastSave="0" documentId="8_{10941568-C60F-4370-8FC9-35545B42B7EA}" xr6:coauthVersionLast="47" xr6:coauthVersionMax="47" xr10:uidLastSave="{00000000-0000-0000-0000-000000000000}"/>
  <bookViews>
    <workbookView xWindow="28680" yWindow="-120" windowWidth="29040" windowHeight="15720" xr2:uid="{F5C9574F-6FCF-4C88-BB73-580D16D119DF}"/>
  </bookViews>
  <sheets>
    <sheet name="개인별양식" sheetId="4" r:id="rId1"/>
    <sheet name="월별제출양식" sheetId="6" r:id="rId2"/>
    <sheet name="프로젝트 코드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6" l="1"/>
  <c r="E16" i="6"/>
  <c r="D16" i="6"/>
  <c r="I3" i="6"/>
  <c r="K9" i="6" s="1"/>
  <c r="F16" i="6"/>
  <c r="G16" i="6"/>
  <c r="H16" i="6"/>
  <c r="I16" i="6"/>
  <c r="J16" i="6"/>
  <c r="D15" i="4"/>
  <c r="D16" i="4" s="1"/>
  <c r="I11" i="4"/>
  <c r="I10" i="4"/>
  <c r="I12" i="4"/>
  <c r="I13" i="4"/>
  <c r="I14" i="4"/>
  <c r="E15" i="4"/>
  <c r="F15" i="4"/>
  <c r="G15" i="4"/>
  <c r="H15" i="4"/>
  <c r="I8" i="4"/>
  <c r="I9" i="4"/>
  <c r="E16" i="4"/>
  <c r="F16" i="4"/>
  <c r="G16" i="4"/>
  <c r="H16" i="4"/>
  <c r="I15" i="4" l="1"/>
  <c r="K11" i="6"/>
  <c r="K15" i="6"/>
  <c r="K16" i="6" s="1"/>
  <c r="K14" i="6"/>
  <c r="K13" i="6"/>
  <c r="K12" i="6"/>
  <c r="K10" i="6"/>
  <c r="I16" i="4"/>
  <c r="H17" i="4"/>
  <c r="D17" i="4"/>
  <c r="G17" i="4"/>
  <c r="E17" i="4"/>
  <c r="F17" i="4"/>
  <c r="I17" i="4" l="1"/>
</calcChain>
</file>

<file path=xl/sharedStrings.xml><?xml version="1.0" encoding="utf-8"?>
<sst xmlns="http://schemas.openxmlformats.org/spreadsheetml/2006/main" count="494" uniqueCount="336">
  <si>
    <t>2024년 해저지형표면(S-102) 구축 및 유지관리</t>
    <phoneticPr fontId="2" type="noConversion"/>
  </si>
  <si>
    <t>팀명:</t>
    <phoneticPr fontId="2" type="noConversion"/>
  </si>
  <si>
    <t>1주</t>
    <phoneticPr fontId="2" type="noConversion"/>
  </si>
  <si>
    <t>2주</t>
    <phoneticPr fontId="2" type="noConversion"/>
  </si>
  <si>
    <t>3주</t>
    <phoneticPr fontId="2" type="noConversion"/>
  </si>
  <si>
    <t>4주</t>
    <phoneticPr fontId="2" type="noConversion"/>
  </si>
  <si>
    <t>홍길동</t>
    <phoneticPr fontId="2" type="noConversion"/>
  </si>
  <si>
    <t>작성자:</t>
    <phoneticPr fontId="2" type="noConversion"/>
  </si>
  <si>
    <t>코드</t>
  </si>
  <si>
    <t>프로젝트명</t>
  </si>
  <si>
    <t>구분</t>
  </si>
  <si>
    <t>50100001</t>
  </si>
  <si>
    <t>회계팀 공동</t>
  </si>
  <si>
    <t>진행</t>
  </si>
  <si>
    <t>50200001</t>
  </si>
  <si>
    <t>인사팀 공동</t>
  </si>
  <si>
    <t>50300001</t>
  </si>
  <si>
    <t>공무지원팀 공동</t>
  </si>
  <si>
    <t>50400001</t>
  </si>
  <si>
    <t>기획조정실 공동</t>
  </si>
  <si>
    <t>50430001</t>
  </si>
  <si>
    <t>소프트웨어개발팀 공동</t>
  </si>
  <si>
    <t>50500001</t>
  </si>
  <si>
    <t>영업전략실 공동</t>
  </si>
  <si>
    <t>50600001</t>
  </si>
  <si>
    <t>임원실 공동</t>
  </si>
  <si>
    <t>50700001</t>
  </si>
  <si>
    <t>사업지원팀 공동</t>
  </si>
  <si>
    <t>AIT0001</t>
  </si>
  <si>
    <t>인공지능팀 공동</t>
  </si>
  <si>
    <t>AIT2305</t>
  </si>
  <si>
    <t>[연구사업-AIT] 해양위성영상 분석 활용 기술개발</t>
  </si>
  <si>
    <t>AIT2306</t>
  </si>
  <si>
    <t>AIT- AI기반 해양쓰레기관리 시스템 구축</t>
  </si>
  <si>
    <t>AIT2401</t>
  </si>
  <si>
    <t>AIT- 2024년 해양예측정보 종합분석 특화 해양예보</t>
  </si>
  <si>
    <t>AIT2402</t>
  </si>
  <si>
    <t>AIT- 2024년 무역항 해양정보 서비스 개선</t>
  </si>
  <si>
    <t>AIT2403</t>
  </si>
  <si>
    <t>AIT- 2024 빅데이터 플랫폼 및 센터 구축 사업</t>
  </si>
  <si>
    <t>AIT2404</t>
  </si>
  <si>
    <t>[연구사업-AIT] 위성정보 빅데이터 국토종합관리</t>
  </si>
  <si>
    <t>AIT2405</t>
  </si>
  <si>
    <t>[연구사업-AIT] AI기반 민군경 융복합 해양데이터</t>
  </si>
  <si>
    <t>AIT2406</t>
  </si>
  <si>
    <t>AIT- 2024년 무인도서 해양쓰레기 발생원인 분석</t>
  </si>
  <si>
    <t>AIT2407</t>
  </si>
  <si>
    <t>GEO0001</t>
  </si>
  <si>
    <t>공간정보팀 공동</t>
  </si>
  <si>
    <t>GEO2401</t>
  </si>
  <si>
    <t>2024년 해양기본도 제작 (남해안 동부)</t>
  </si>
  <si>
    <t>GEO2402</t>
  </si>
  <si>
    <t>GEO- 2024년 해양정보 활용시스템 개선</t>
  </si>
  <si>
    <t>영광낙월 해상풍력 발전단지 조성공사 중 UXO 해양조사</t>
  </si>
  <si>
    <t>HGS12401</t>
  </si>
  <si>
    <t>HGS12404</t>
  </si>
  <si>
    <t>IHO 능력배양프로그램 운영 및 연구</t>
  </si>
  <si>
    <t>현대제철 당진제철소 사후환경영향조사 해양물리조사</t>
  </si>
  <si>
    <t>2024년 무인해양조사</t>
  </si>
  <si>
    <t>HIS0001</t>
  </si>
  <si>
    <t>개발팀 공동</t>
  </si>
  <si>
    <t>HIS2101</t>
  </si>
  <si>
    <t>[연구사업] 연안해양환경 DB구축 및 가시화 체계</t>
  </si>
  <si>
    <t>HIS2302</t>
  </si>
  <si>
    <t>HIS- 해양공간의 체계적 관리 관할구역 제도연구</t>
  </si>
  <si>
    <t>HIS2303</t>
  </si>
  <si>
    <t>연안공간정보 보안관리 개선방안 연구</t>
  </si>
  <si>
    <t>HIS2401</t>
  </si>
  <si>
    <t>HIS-KSIS 유사데이터 기반 SAR,AIS 융합기술</t>
  </si>
  <si>
    <t>HIS2402</t>
  </si>
  <si>
    <t>HIS2403</t>
  </si>
  <si>
    <t>HIS- 2024년 해양예측정보 종합분석 특화 해양예보</t>
  </si>
  <si>
    <t>HIS2404</t>
  </si>
  <si>
    <t>HIS -인공위성 해수면온도 합성장생산 예측서비스 제공</t>
  </si>
  <si>
    <t>HIS2405</t>
  </si>
  <si>
    <t>HIS- 바다수온 서비스 시스템</t>
  </si>
  <si>
    <t>HIS2406</t>
  </si>
  <si>
    <t>2024년 MBRIS 기능 개선</t>
  </si>
  <si>
    <t>HIS2407</t>
  </si>
  <si>
    <t>OBIS 서비스 체계 구축</t>
  </si>
  <si>
    <t>HIS2408</t>
  </si>
  <si>
    <t>HIS- 2024년 무인도서 해양쓰레기 발생원인 분석</t>
  </si>
  <si>
    <t>HIS2409</t>
  </si>
  <si>
    <t>HIS- 2024년 해양정보 활용시스템 개선</t>
  </si>
  <si>
    <t>MIU0001</t>
  </si>
  <si>
    <t>데이터활용팀 공동</t>
  </si>
  <si>
    <t>MIU2301</t>
  </si>
  <si>
    <t>해양지형정보 DB개발 (3차원 해저지형 DB 최신화)</t>
  </si>
  <si>
    <t>MIU2401</t>
  </si>
  <si>
    <t>2024년 해양영토 이용실태 원격 조사</t>
  </si>
  <si>
    <t>MIU2402</t>
  </si>
  <si>
    <t>어장현황도 제작용역</t>
  </si>
  <si>
    <t>MIU2403</t>
  </si>
  <si>
    <t>2024년 항해용 간행물 품질관리 업무보조 시스템 구축</t>
  </si>
  <si>
    <t>Floating LiDAR Turn-Key (여서도)</t>
  </si>
  <si>
    <t>NCH0001</t>
  </si>
  <si>
    <t>해도팀 공동</t>
  </si>
  <si>
    <t>NCH2201</t>
  </si>
  <si>
    <t>남동해안 해도제작</t>
  </si>
  <si>
    <t>NCH2401</t>
  </si>
  <si>
    <t>서남해안 해도제작 (2024)</t>
  </si>
  <si>
    <t>A해역 해양환경영향조사 용역</t>
  </si>
  <si>
    <t>PAT2201</t>
  </si>
  <si>
    <t>남동 도시첨단산업단지 배전간선공사 위치탐사용역</t>
  </si>
  <si>
    <t>PAT2202</t>
  </si>
  <si>
    <t>가산동 459-21 고압4750kw 신설 위치탐사 용역</t>
  </si>
  <si>
    <t>PAT2203</t>
  </si>
  <si>
    <t>시흥동 991-6 베일리코퍼레이션 신규 위치탐사</t>
  </si>
  <si>
    <t>PAT2401</t>
  </si>
  <si>
    <t>영종해얀순환도로 대비관로 위치탐사용역</t>
  </si>
  <si>
    <t>PAT2402</t>
  </si>
  <si>
    <t>송도11-1공구 배전간선공사 (1구역 위치탐사)</t>
  </si>
  <si>
    <t>PAT2403</t>
  </si>
  <si>
    <t>의왕청계2 공공주택지구 도로·지하시설물 GIS DB구축</t>
  </si>
  <si>
    <t>PLN0001</t>
  </si>
  <si>
    <t>데이터본부 기획지원팀 공동</t>
  </si>
  <si>
    <t>RD0000</t>
  </si>
  <si>
    <t>국고보조금(R&amp;D) 회계처리</t>
  </si>
  <si>
    <t>RD0001</t>
  </si>
  <si>
    <t>[R&amp;D공동] 해양위성영상 분석 활용 기술개발</t>
  </si>
  <si>
    <t>RD0002</t>
  </si>
  <si>
    <t>[R&amp;D공동] 해양무인시스템 실증 시험평가기술 개발</t>
  </si>
  <si>
    <t>RD0003</t>
  </si>
  <si>
    <t>[R&amp;D공동] 농업위성정보 기반기술 및 S/W 개발</t>
  </si>
  <si>
    <t>RD0004</t>
  </si>
  <si>
    <t>[R&amp;D공동] 해양재난대응 3차원 해수유동 관측기술개발</t>
  </si>
  <si>
    <t>RD0005</t>
  </si>
  <si>
    <t>[R&amp;D공동] 해양오염사고 현장탐색자료활용 정보기술개발</t>
  </si>
  <si>
    <t>RD0006</t>
  </si>
  <si>
    <t>[R&amp;D공동] 천리안 2B호 산출물 정확도 향상 연구</t>
  </si>
  <si>
    <t>RD0007</t>
  </si>
  <si>
    <t>[R&amp;D공동] 해양레저활동 바다수온예보 서비스 개발</t>
  </si>
  <si>
    <t>RD0008</t>
  </si>
  <si>
    <t>[R&amp;D공동] 위성정보 빅데이터 국토종합관리 기술개발</t>
  </si>
  <si>
    <t>UST0001</t>
  </si>
  <si>
    <t>판매관리비 공동</t>
  </si>
  <si>
    <t>UST0002</t>
  </si>
  <si>
    <t>평창연수원 (판매관리비)</t>
  </si>
  <si>
    <t>UST0003</t>
  </si>
  <si>
    <t>부산지사 (판매관리비)</t>
  </si>
  <si>
    <t>UST0004</t>
  </si>
  <si>
    <t>용역원가 공동</t>
  </si>
  <si>
    <t>UST3000</t>
  </si>
  <si>
    <t>블루본부 총괄 공동</t>
  </si>
  <si>
    <t>UST4000</t>
  </si>
  <si>
    <t>데이터본부 총괄 공동</t>
  </si>
  <si>
    <t>프로젝트
CODE</t>
    <phoneticPr fontId="2" type="noConversion"/>
  </si>
  <si>
    <t>수로측량1팀</t>
    <phoneticPr fontId="2" type="noConversion"/>
  </si>
  <si>
    <t>직원1</t>
    <phoneticPr fontId="2" type="noConversion"/>
  </si>
  <si>
    <t>직원2</t>
  </si>
  <si>
    <t>직원3</t>
  </si>
  <si>
    <t>5주</t>
  </si>
  <si>
    <t>투입율 합계 (A)</t>
    <phoneticPr fontId="2" type="noConversion"/>
  </si>
  <si>
    <t>월 사업 투입율</t>
    <phoneticPr fontId="2" type="noConversion"/>
  </si>
  <si>
    <t>수행중인 사업과 무관한 그 외 기타 업무</t>
  </si>
  <si>
    <t>수행중인 사업과 무관한 그 외 기타 업무</t>
    <phoneticPr fontId="2" type="noConversion"/>
  </si>
  <si>
    <t>사 업 명</t>
    <phoneticPr fontId="2" type="noConversion"/>
  </si>
  <si>
    <t>투 입 률 (%)</t>
    <phoneticPr fontId="2" type="noConversion"/>
  </si>
  <si>
    <t>※ 투입율의 합계 (A) 는 100% 가 되어야 함.</t>
    <phoneticPr fontId="2" type="noConversion"/>
  </si>
  <si>
    <t>※ 사업명과 프로젝트코드는 해당 시트 참조하여 정확하게 입력</t>
    <phoneticPr fontId="2" type="noConversion"/>
  </si>
  <si>
    <t>직원4</t>
  </si>
  <si>
    <t>직원5</t>
  </si>
  <si>
    <t>직원6</t>
  </si>
  <si>
    <t>사업 관련 업무 계</t>
    <phoneticPr fontId="2" type="noConversion"/>
  </si>
  <si>
    <t>9월 사업 투입률 (팀)</t>
    <phoneticPr fontId="2" type="noConversion"/>
  </si>
  <si>
    <t>팀인원 수:</t>
    <phoneticPr fontId="2" type="noConversion"/>
  </si>
  <si>
    <t>팀 &gt; 해당월
사업 투입율</t>
    <phoneticPr fontId="2" type="noConversion"/>
  </si>
  <si>
    <t>9월 사업 투입률 (개인)</t>
    <phoneticPr fontId="2" type="noConversion"/>
  </si>
  <si>
    <t>※ 사업명과 프로젝트코드 없을 경우 회계팀에게 메신저 문의 바람.</t>
    <phoneticPr fontId="2" type="noConversion"/>
  </si>
  <si>
    <t>※ 흰색으로 되어진 항목만 작성 입력. (회색 부분은 개인이 임의 입력 금지)</t>
    <phoneticPr fontId="2" type="noConversion"/>
  </si>
  <si>
    <t>순번</t>
    <phoneticPr fontId="2" type="noConversion"/>
  </si>
  <si>
    <t>UST4002</t>
  </si>
  <si>
    <t>새만금 햇빛나눔사업 일반해역이용협의 중 해양물리예측</t>
  </si>
  <si>
    <t>UST4001</t>
  </si>
  <si>
    <t>직원숙소 (판매관리비)</t>
  </si>
  <si>
    <t>UST0005</t>
  </si>
  <si>
    <t>SHE실 공동</t>
  </si>
  <si>
    <t>SHE0001</t>
  </si>
  <si>
    <t>위성활용부 공동</t>
  </si>
  <si>
    <t>SAD0001</t>
  </si>
  <si>
    <t xml:space="preserve">PLN- 2022년 어촌뉴딜300사업 일반해역이용협의 </t>
  </si>
  <si>
    <t>PLN2502</t>
  </si>
  <si>
    <t>PLN- 태평염전 태양광발전 해양물리탐사 인허가용역</t>
  </si>
  <si>
    <t>PLN2501</t>
  </si>
  <si>
    <t>석모도 관광단지 보행환경 개선공사 공공측량 용역</t>
  </si>
  <si>
    <t>PAT2405</t>
  </si>
  <si>
    <t>상방 면단위 공공하수처리시설 설치사업 GIS 구축용역</t>
  </si>
  <si>
    <t>PAT2404</t>
  </si>
  <si>
    <t>송도11-1공구 GIS 공공측량 용역(3구역, A지역)</t>
  </si>
  <si>
    <t>PAT2302</t>
  </si>
  <si>
    <t>송도11-1공구 GIS 공공측량 용역(1-1구역 B지역</t>
  </si>
  <si>
    <t>PAT2301</t>
  </si>
  <si>
    <t>[연구사업-ORS] 위성정보 빅데이터 국토종합관리</t>
  </si>
  <si>
    <t>ORS2503</t>
  </si>
  <si>
    <t>[연구사업-ORS] 천리안 2B호 산출물 정확도 향상</t>
  </si>
  <si>
    <t>ORS2502</t>
  </si>
  <si>
    <t>ORS-KSIS 유사데이터 기반 SAR, AIS 융합</t>
  </si>
  <si>
    <t>ORS2501</t>
  </si>
  <si>
    <t>ORS- 국토위성 기반 변화탐지정보 추출 기술 개발</t>
  </si>
  <si>
    <t>ORS2401</t>
  </si>
  <si>
    <t>해양원격탐사팀 공동</t>
  </si>
  <si>
    <t>ORS0001</t>
  </si>
  <si>
    <t>[연구사업-NNF] 해양위성영상 분석 활용 기술개발</t>
  </si>
  <si>
    <t>NF2502</t>
  </si>
  <si>
    <t>NNF-2025년 AI기반 어장 공간정보 빅데이터</t>
  </si>
  <si>
    <t>NF2501</t>
  </si>
  <si>
    <t>수치예보팀 공동</t>
  </si>
  <si>
    <t>NF0001</t>
  </si>
  <si>
    <t>MIU- 2024년 종합해양정보시스템 전환</t>
  </si>
  <si>
    <t>MIU2405</t>
  </si>
  <si>
    <t>2024년 옹진군 관내도 제작용역</t>
  </si>
  <si>
    <t>MIU2404</t>
  </si>
  <si>
    <t>해양환경부 공동</t>
  </si>
  <si>
    <t>MED0001</t>
  </si>
  <si>
    <t>[연구사업-MEC] 위성정보 빅데이터 국토종합관리</t>
  </si>
  <si>
    <t>MEC2504</t>
  </si>
  <si>
    <t>[연구사업-MEC] 천리안 2B호 산출물 정확도 향상</t>
  </si>
  <si>
    <t>MEC2503</t>
  </si>
  <si>
    <t>[연구사업-MEC] 해양위성영상 분석 활용 기술개발</t>
  </si>
  <si>
    <t>MEC2502</t>
  </si>
  <si>
    <t>MEC-2025년 AI기반 어장 공간정보 빅데이터</t>
  </si>
  <si>
    <t>MEC2501</t>
  </si>
  <si>
    <t>해양융합환경팀 공동</t>
  </si>
  <si>
    <t>MEC0001</t>
  </si>
  <si>
    <t>[연구사업- 해양융합본부공동] 천리안2B호 산출물 연구</t>
  </si>
  <si>
    <t>MCD2501</t>
  </si>
  <si>
    <t>해양융합본부 총괄 공동</t>
  </si>
  <si>
    <t>MCD0001</t>
  </si>
  <si>
    <t>HIS-2025년 AI기반 어장 공간정보 빅데이터</t>
  </si>
  <si>
    <t>HIS2501</t>
  </si>
  <si>
    <t>HIS- GIS 해양정보 및 해양안전정보 DB 개방</t>
  </si>
  <si>
    <t>HIS2411</t>
  </si>
  <si>
    <t>HIS- 2024년 종합해양정보시스템 전환</t>
  </si>
  <si>
    <t>[연구사업-ESI] 위성정보 빅데이터 국토종합관리</t>
  </si>
  <si>
    <t>ESI2505</t>
  </si>
  <si>
    <t>[연구사업-ESI] 천리안 2B호 산출물 정확도 향상</t>
  </si>
  <si>
    <t>ESI2504</t>
  </si>
  <si>
    <t>[연구사업-ESI] 해양위성영상 분석 활용 기술개발</t>
  </si>
  <si>
    <t>ESI2503</t>
  </si>
  <si>
    <t>[연구사업-ESI] 농업위성정보 S/W 기술개발</t>
  </si>
  <si>
    <t>ESI2502</t>
  </si>
  <si>
    <t>ESI-2025년 AI기반 어장 공간정보 빅데이터</t>
  </si>
  <si>
    <t>ESI2501</t>
  </si>
  <si>
    <t>환경공간정보팀 공동</t>
  </si>
  <si>
    <t>ESI0001</t>
  </si>
  <si>
    <t>[연구사업-CRS] 위성정보 빅데이터 국토종합관리</t>
  </si>
  <si>
    <t>CRS2502</t>
  </si>
  <si>
    <t>[연구사업-CRS] 천리안 2B호 산출물 정확도 향상</t>
  </si>
  <si>
    <t>CRS2501</t>
  </si>
  <si>
    <t>연안원격탐사팀 공동</t>
  </si>
  <si>
    <t>CRS0001</t>
  </si>
  <si>
    <t>[연구사업-BD]해양재난대응 해수유동 관측기술 개발</t>
  </si>
  <si>
    <t>BD2503</t>
  </si>
  <si>
    <t>[연구사업-BD] 해양 무인시스템 실증시험·개발</t>
  </si>
  <si>
    <t>BD2502</t>
  </si>
  <si>
    <t>[연구사업-BD]천리안 2B호 산출물 정확도 향상 연구</t>
  </si>
  <si>
    <t>BD2501</t>
  </si>
  <si>
    <t>신사업개발팀- 해양관할구역 획정을 위한 사전 연구</t>
  </si>
  <si>
    <t>BD2401</t>
  </si>
  <si>
    <t>신사업개발팀 공동</t>
  </si>
  <si>
    <t>BD0001</t>
  </si>
  <si>
    <t>AIT-생성형 AI기반 해양산업정보센터 서비스 구축</t>
  </si>
  <si>
    <t>AIT2502</t>
  </si>
  <si>
    <t>AIT-2025년 AI기반 어장 공간정보 빅데이터</t>
  </si>
  <si>
    <t>AIT2501</t>
  </si>
  <si>
    <t>AIT- 국토위성 기반 변화탐지정보 추출 기술 개발</t>
  </si>
  <si>
    <t>설문조사 온라인 시스템 구축</t>
  </si>
  <si>
    <t>50432402</t>
  </si>
  <si>
    <t>S/W개발팀- GIS해양정보 및 해양안전정보 DB개방</t>
  </si>
  <si>
    <t>50432401</t>
  </si>
  <si>
    <t>지반조사/유지관리부 공동</t>
  </si>
  <si>
    <t>32600001</t>
  </si>
  <si>
    <t>부산사무소-2025년 무역항 해양정보 서비스 유지관리</t>
  </si>
  <si>
    <t>32502501</t>
  </si>
  <si>
    <t>부산사무소 공동</t>
  </si>
  <si>
    <t>32500001</t>
  </si>
  <si>
    <t>KEI 통합환경정보플랫폼 기능(영역)확장 및 서비스개선</t>
  </si>
  <si>
    <t>32402508</t>
  </si>
  <si>
    <t>해양SI부- 2024년 남극 해양조사 및 해도제작</t>
  </si>
  <si>
    <t>32402507</t>
  </si>
  <si>
    <t>[연구사업-해양SI부]천리안 2B호 산출물 정확도 향상</t>
  </si>
  <si>
    <t>32402506</t>
  </si>
  <si>
    <t>[연구사업-해양SI부]해양재난대응 해수유동 관측기술</t>
  </si>
  <si>
    <t>32402505</t>
  </si>
  <si>
    <t>해양SI부-자은도 사월포 실시간 조위 모니터링</t>
  </si>
  <si>
    <t>32402504</t>
  </si>
  <si>
    <t>태평양도서국 연안해양공간정보 웹 가시화 및 부클릿 제작</t>
  </si>
  <si>
    <t>32402503</t>
  </si>
  <si>
    <t>해양SI부-2025년 무역항 해양정보 서비스 유지관리</t>
  </si>
  <si>
    <t>32402502</t>
  </si>
  <si>
    <t>위성/지상기반 선박 정보 관리 및 표출 시스템 구축</t>
  </si>
  <si>
    <t>32402501</t>
  </si>
  <si>
    <t>해양SI부 공동</t>
  </si>
  <si>
    <t>32400001</t>
  </si>
  <si>
    <t xml:space="preserve">[연구사업-해양기상조사부]천리안 2B호 산출물 정확도 </t>
  </si>
  <si>
    <t>32302509</t>
  </si>
  <si>
    <t>32302508</t>
  </si>
  <si>
    <t>해양기상조사부- 2024년 남극해양조사 및 해도제작</t>
  </si>
  <si>
    <t>32302507</t>
  </si>
  <si>
    <t>32302506</t>
  </si>
  <si>
    <t>대우건설 이라크 현장 측량 (해상 측량기기)</t>
  </si>
  <si>
    <t>32302505</t>
  </si>
  <si>
    <t>[연구사업-해양기상조사부]해양재난대응 해수유동 관측기술</t>
  </si>
  <si>
    <t>32302504</t>
  </si>
  <si>
    <t>Fugro 라이다 부이 설치지원 사업</t>
  </si>
  <si>
    <t>32302503</t>
  </si>
  <si>
    <t>해양기상조사부- 자은도 사월포 실시간 조위 모니터링</t>
  </si>
  <si>
    <t>32302502</t>
  </si>
  <si>
    <t>해양기상조사부- 2025년 무역항 해양정보 서비스</t>
  </si>
  <si>
    <t>32302501</t>
  </si>
  <si>
    <t>해양기상조사부 공동</t>
  </si>
  <si>
    <t>32300001</t>
  </si>
  <si>
    <t>지구물리탐사부- 전남해상풍력 Survey (2, 3단지</t>
  </si>
  <si>
    <t>32202506</t>
  </si>
  <si>
    <t>지구물리탐사부- 침몰선 잔존유 확인용역</t>
  </si>
  <si>
    <t>32202505</t>
  </si>
  <si>
    <t>안마해상풍력 Anma OSW</t>
  </si>
  <si>
    <t>32202504</t>
  </si>
  <si>
    <t>Nearshore Topography Survey</t>
  </si>
  <si>
    <t>32202503</t>
  </si>
  <si>
    <t>[연구사업-지구물리탐사부]해양 무인시스템 실증시험·개발</t>
  </si>
  <si>
    <t>32202502</t>
  </si>
  <si>
    <t>32202501</t>
  </si>
  <si>
    <t>지구물리탐사부 공동</t>
  </si>
  <si>
    <t>32200001</t>
  </si>
  <si>
    <t>수로측량부- 해양관할구역 획정을 위한 사전 연구</t>
  </si>
  <si>
    <t>32102501</t>
  </si>
  <si>
    <t>32102401</t>
  </si>
  <si>
    <t>수로측량부 공동</t>
  </si>
  <si>
    <t>32100001</t>
  </si>
  <si>
    <t>[연구사업-운영기획부] 해양 무인시스템 실증시험·개발</t>
  </si>
  <si>
    <t>32002501</t>
  </si>
  <si>
    <t>운영기획부 공동</t>
  </si>
  <si>
    <t>32000001</t>
  </si>
  <si>
    <t>AIT2306</t>
    <phoneticPr fontId="2" type="noConversion"/>
  </si>
  <si>
    <t>AI기반 해양쓰레기관리 시스템 구축(3차년도)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</si>
</sst>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9"/>
      <color indexed="9"/>
      <name val="굴림체"/>
      <family val="3"/>
      <charset val="129"/>
    </font>
    <font>
      <sz val="9"/>
      <color indexed="63"/>
      <name val="굴림체"/>
      <family val="3"/>
      <charset val="129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9" fontId="3" fillId="0" borderId="2" xfId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49" fontId="5" fillId="2" borderId="8" xfId="2" applyNumberFormat="1" applyFont="1" applyFill="1" applyBorder="1" applyAlignment="1">
      <alignment horizontal="center" vertical="center"/>
    </xf>
    <xf numFmtId="0" fontId="4" fillId="0" borderId="0" xfId="2"/>
    <xf numFmtId="0" fontId="6" fillId="0" borderId="9" xfId="2" applyFont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7" fillId="3" borderId="2" xfId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 wrapText="1"/>
    </xf>
    <xf numFmtId="9" fontId="3" fillId="3" borderId="2" xfId="1" applyFont="1" applyFill="1" applyBorder="1" applyAlignment="1">
      <alignment horizontal="center" vertical="center"/>
    </xf>
    <xf numFmtId="176" fontId="3" fillId="3" borderId="2" xfId="1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9" fontId="7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9" fontId="7" fillId="0" borderId="6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9" fontId="3" fillId="3" borderId="6" xfId="1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7" fillId="4" borderId="5" xfId="0" applyFont="1" applyFill="1" applyBorder="1" applyAlignment="1">
      <alignment horizontal="center" vertical="center"/>
    </xf>
    <xf numFmtId="0" fontId="4" fillId="0" borderId="0" xfId="2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79C124AE-DE07-4586-A4FB-32E8E5677D0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487B-2C05-4548-A06D-B69AA8B6DB01}">
  <dimension ref="A2:I22"/>
  <sheetViews>
    <sheetView showGridLines="0" tabSelected="1" topLeftCell="A4" zoomScale="90" zoomScaleNormal="90" workbookViewId="0">
      <selection activeCell="C13" sqref="C13"/>
    </sheetView>
  </sheetViews>
  <sheetFormatPr defaultRowHeight="16.5" x14ac:dyDescent="0.3"/>
  <cols>
    <col min="1" max="1" width="7.625" style="2" customWidth="1"/>
    <col min="2" max="2" width="12.375" style="2" customWidth="1"/>
    <col min="3" max="3" width="50.375" style="2" customWidth="1"/>
    <col min="4" max="8" width="9.75" style="2" customWidth="1"/>
    <col min="9" max="9" width="17.375" style="12" customWidth="1"/>
    <col min="10" max="16384" width="9" style="2"/>
  </cols>
  <sheetData>
    <row r="2" spans="1:9" ht="24.75" customHeight="1" x14ac:dyDescent="0.3">
      <c r="A2" s="29" t="s">
        <v>167</v>
      </c>
      <c r="B2" s="29"/>
      <c r="C2" s="29"/>
      <c r="D2" s="29"/>
      <c r="E2" s="29"/>
      <c r="F2" s="29"/>
      <c r="G2" s="29"/>
      <c r="H2" s="29"/>
      <c r="I2" s="29"/>
    </row>
    <row r="3" spans="1:9" ht="21.75" customHeight="1" x14ac:dyDescent="0.3">
      <c r="G3" s="11" t="s">
        <v>1</v>
      </c>
      <c r="H3" s="21" t="s">
        <v>147</v>
      </c>
    </row>
    <row r="4" spans="1:9" ht="21" customHeight="1" x14ac:dyDescent="0.3">
      <c r="G4" s="11" t="s">
        <v>7</v>
      </c>
      <c r="H4" s="21" t="s">
        <v>6</v>
      </c>
    </row>
    <row r="5" spans="1:9" ht="9" customHeight="1" x14ac:dyDescent="0.3">
      <c r="G5" s="11"/>
      <c r="H5" s="12"/>
    </row>
    <row r="6" spans="1:9" ht="36.75" customHeight="1" x14ac:dyDescent="0.3">
      <c r="A6" s="30" t="s">
        <v>170</v>
      </c>
      <c r="B6" s="33" t="s">
        <v>146</v>
      </c>
      <c r="C6" s="32" t="s">
        <v>156</v>
      </c>
      <c r="D6" s="34" t="s">
        <v>157</v>
      </c>
      <c r="E6" s="35"/>
      <c r="F6" s="35"/>
      <c r="G6" s="35"/>
      <c r="H6" s="35"/>
      <c r="I6" s="36"/>
    </row>
    <row r="7" spans="1:9" ht="36.75" customHeight="1" x14ac:dyDescent="0.3">
      <c r="A7" s="31"/>
      <c r="B7" s="40"/>
      <c r="C7" s="33"/>
      <c r="D7" s="24" t="s">
        <v>2</v>
      </c>
      <c r="E7" s="24" t="s">
        <v>3</v>
      </c>
      <c r="F7" s="24" t="s">
        <v>4</v>
      </c>
      <c r="G7" s="24" t="s">
        <v>5</v>
      </c>
      <c r="H7" s="24" t="s">
        <v>151</v>
      </c>
      <c r="I7" s="19" t="s">
        <v>153</v>
      </c>
    </row>
    <row r="8" spans="1:9" ht="27" customHeight="1" x14ac:dyDescent="0.3">
      <c r="A8" s="4">
        <v>1</v>
      </c>
      <c r="B8" s="6" t="s">
        <v>334</v>
      </c>
      <c r="C8" s="5" t="s">
        <v>335</v>
      </c>
      <c r="D8" s="1">
        <v>0.6</v>
      </c>
      <c r="E8" s="1">
        <v>0.6</v>
      </c>
      <c r="F8" s="1">
        <v>0.6</v>
      </c>
      <c r="G8" s="1">
        <v>0.6</v>
      </c>
      <c r="H8" s="1">
        <v>0.6</v>
      </c>
      <c r="I8" s="13">
        <f>SUM(D8:H8)/5</f>
        <v>0.6</v>
      </c>
    </row>
    <row r="9" spans="1:9" ht="27" customHeight="1" x14ac:dyDescent="0.3">
      <c r="A9" s="4"/>
      <c r="B9" s="7"/>
      <c r="C9" s="3"/>
      <c r="D9" s="1"/>
      <c r="E9" s="1"/>
      <c r="F9" s="1"/>
      <c r="G9" s="1"/>
      <c r="H9" s="1"/>
      <c r="I9" s="13">
        <f>SUM(D9:H9)/5</f>
        <v>0</v>
      </c>
    </row>
    <row r="10" spans="1:9" ht="27" customHeight="1" x14ac:dyDescent="0.3">
      <c r="A10" s="4"/>
      <c r="B10" s="6"/>
      <c r="C10" s="5"/>
      <c r="D10" s="1"/>
      <c r="E10" s="1"/>
      <c r="F10" s="1"/>
      <c r="G10" s="1"/>
      <c r="H10" s="1"/>
      <c r="I10" s="13">
        <f t="shared" ref="I10:I14" si="0">SUM(D10:H10)/5</f>
        <v>0</v>
      </c>
    </row>
    <row r="11" spans="1:9" ht="27" customHeight="1" x14ac:dyDescent="0.3">
      <c r="A11" s="4"/>
      <c r="B11" s="6"/>
      <c r="C11" s="5"/>
      <c r="D11" s="1"/>
      <c r="E11" s="1"/>
      <c r="F11" s="1"/>
      <c r="G11" s="1"/>
      <c r="H11" s="1"/>
      <c r="I11" s="13">
        <f t="shared" ref="I11" si="1">SUM(D11:H11)/5</f>
        <v>0</v>
      </c>
    </row>
    <row r="12" spans="1:9" ht="27" customHeight="1" x14ac:dyDescent="0.3">
      <c r="A12" s="4"/>
      <c r="B12" s="6"/>
      <c r="C12" s="5"/>
      <c r="D12" s="1"/>
      <c r="E12" s="1"/>
      <c r="F12" s="1"/>
      <c r="G12" s="1"/>
      <c r="H12" s="1"/>
      <c r="I12" s="13">
        <f t="shared" si="0"/>
        <v>0</v>
      </c>
    </row>
    <row r="13" spans="1:9" ht="27" customHeight="1" x14ac:dyDescent="0.3">
      <c r="A13" s="4"/>
      <c r="B13" s="6"/>
      <c r="C13" s="5"/>
      <c r="D13" s="1"/>
      <c r="E13" s="1"/>
      <c r="F13" s="1"/>
      <c r="G13" s="1"/>
      <c r="H13" s="1"/>
      <c r="I13" s="13">
        <f t="shared" si="0"/>
        <v>0</v>
      </c>
    </row>
    <row r="14" spans="1:9" ht="27" customHeight="1" x14ac:dyDescent="0.3">
      <c r="A14" s="4"/>
      <c r="B14" s="6"/>
      <c r="C14" s="5"/>
      <c r="D14" s="1"/>
      <c r="E14" s="1"/>
      <c r="F14" s="1"/>
      <c r="G14" s="1"/>
      <c r="H14" s="1"/>
      <c r="I14" s="13">
        <f t="shared" si="0"/>
        <v>0</v>
      </c>
    </row>
    <row r="15" spans="1:9" ht="24" customHeight="1" x14ac:dyDescent="0.3">
      <c r="A15" s="14"/>
      <c r="B15" s="15"/>
      <c r="C15" s="16" t="s">
        <v>163</v>
      </c>
      <c r="D15" s="17">
        <f t="shared" ref="D15:I15" si="2">SUM(D8:D14)</f>
        <v>0.6</v>
      </c>
      <c r="E15" s="17">
        <f t="shared" si="2"/>
        <v>0.6</v>
      </c>
      <c r="F15" s="17">
        <f t="shared" si="2"/>
        <v>0.6</v>
      </c>
      <c r="G15" s="17">
        <f t="shared" si="2"/>
        <v>0.6</v>
      </c>
      <c r="H15" s="17">
        <f t="shared" si="2"/>
        <v>0.6</v>
      </c>
      <c r="I15" s="17">
        <f t="shared" si="2"/>
        <v>0.6</v>
      </c>
    </row>
    <row r="16" spans="1:9" ht="24" customHeight="1" x14ac:dyDescent="0.3">
      <c r="A16" s="14"/>
      <c r="B16" s="15"/>
      <c r="C16" s="16" t="s">
        <v>155</v>
      </c>
      <c r="D16" s="17">
        <f>100%-D15</f>
        <v>0.4</v>
      </c>
      <c r="E16" s="17">
        <f t="shared" ref="E16:H16" si="3">100%-SUM(E8:E14)</f>
        <v>0.4</v>
      </c>
      <c r="F16" s="17">
        <f t="shared" si="3"/>
        <v>0.4</v>
      </c>
      <c r="G16" s="17">
        <f t="shared" si="3"/>
        <v>0.4</v>
      </c>
      <c r="H16" s="17">
        <f t="shared" si="3"/>
        <v>0.4</v>
      </c>
      <c r="I16" s="18">
        <f>SUM(D16:H16)/5</f>
        <v>0.4</v>
      </c>
    </row>
    <row r="17" spans="1:9" ht="33" customHeight="1" x14ac:dyDescent="0.3">
      <c r="A17" s="37" t="s">
        <v>152</v>
      </c>
      <c r="B17" s="38"/>
      <c r="C17" s="39"/>
      <c r="D17" s="20">
        <f t="shared" ref="D17:I17" si="4">SUM(D8:D16)-D15</f>
        <v>1</v>
      </c>
      <c r="E17" s="20">
        <f t="shared" si="4"/>
        <v>1</v>
      </c>
      <c r="F17" s="20">
        <f t="shared" si="4"/>
        <v>1</v>
      </c>
      <c r="G17" s="20">
        <f t="shared" si="4"/>
        <v>1</v>
      </c>
      <c r="H17" s="20">
        <f t="shared" si="4"/>
        <v>1</v>
      </c>
      <c r="I17" s="20">
        <f t="shared" si="4"/>
        <v>1</v>
      </c>
    </row>
    <row r="18" spans="1:9" ht="12.75" customHeight="1" x14ac:dyDescent="0.3"/>
    <row r="19" spans="1:9" ht="23.25" customHeight="1" x14ac:dyDescent="0.3">
      <c r="A19" s="23" t="s">
        <v>169</v>
      </c>
    </row>
    <row r="20" spans="1:9" ht="23.25" customHeight="1" x14ac:dyDescent="0.3">
      <c r="A20" s="23" t="s">
        <v>158</v>
      </c>
    </row>
    <row r="21" spans="1:9" ht="23.25" customHeight="1" x14ac:dyDescent="0.3">
      <c r="A21" s="23" t="s">
        <v>159</v>
      </c>
    </row>
    <row r="22" spans="1:9" ht="23.25" customHeight="1" x14ac:dyDescent="0.3">
      <c r="A22" s="23" t="s">
        <v>168</v>
      </c>
    </row>
  </sheetData>
  <mergeCells count="6">
    <mergeCell ref="A2:I2"/>
    <mergeCell ref="A6:A7"/>
    <mergeCell ref="C6:C7"/>
    <mergeCell ref="D6:I6"/>
    <mergeCell ref="A17:C17"/>
    <mergeCell ref="B6:B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6C22-7E20-4977-90F8-EE33860725E2}">
  <dimension ref="A2:K22"/>
  <sheetViews>
    <sheetView showGridLines="0" topLeftCell="A4" zoomScale="90" zoomScaleNormal="90" workbookViewId="0">
      <selection activeCell="C25" sqref="C25"/>
    </sheetView>
  </sheetViews>
  <sheetFormatPr defaultRowHeight="16.5" x14ac:dyDescent="0.3"/>
  <cols>
    <col min="1" max="1" width="7.625" style="2" customWidth="1"/>
    <col min="2" max="2" width="12.375" style="2" customWidth="1"/>
    <col min="3" max="3" width="48.25" style="2" customWidth="1"/>
    <col min="4" max="10" width="9.75" style="2" customWidth="1"/>
    <col min="11" max="11" width="17.375" style="12" customWidth="1"/>
    <col min="12" max="16384" width="9" style="2"/>
  </cols>
  <sheetData>
    <row r="2" spans="1:11" ht="24.75" customHeight="1" x14ac:dyDescent="0.3">
      <c r="A2" s="29" t="s">
        <v>164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21.75" customHeight="1" x14ac:dyDescent="0.3">
      <c r="G3" s="11"/>
      <c r="H3" s="25" t="s">
        <v>165</v>
      </c>
      <c r="I3" s="26">
        <f>COUNTA(D7:J7)</f>
        <v>7</v>
      </c>
      <c r="J3" s="11" t="s">
        <v>1</v>
      </c>
      <c r="K3" s="21" t="s">
        <v>147</v>
      </c>
    </row>
    <row r="4" spans="1:11" ht="21" customHeight="1" x14ac:dyDescent="0.3">
      <c r="G4" s="11"/>
      <c r="J4" s="11" t="s">
        <v>7</v>
      </c>
      <c r="K4" s="21"/>
    </row>
    <row r="5" spans="1:11" ht="9" customHeight="1" x14ac:dyDescent="0.3">
      <c r="G5" s="11"/>
      <c r="H5" s="11"/>
      <c r="I5" s="11"/>
      <c r="J5" s="12"/>
    </row>
    <row r="6" spans="1:11" ht="36.75" customHeight="1" x14ac:dyDescent="0.3">
      <c r="A6" s="30" t="s">
        <v>170</v>
      </c>
      <c r="B6" s="33" t="s">
        <v>146</v>
      </c>
      <c r="C6" s="32" t="s">
        <v>156</v>
      </c>
      <c r="D6" s="34" t="s">
        <v>157</v>
      </c>
      <c r="E6" s="35"/>
      <c r="F6" s="35"/>
      <c r="G6" s="35"/>
      <c r="H6" s="35"/>
      <c r="I6" s="35"/>
      <c r="J6" s="35"/>
      <c r="K6" s="36"/>
    </row>
    <row r="7" spans="1:11" ht="36.75" customHeight="1" x14ac:dyDescent="0.3">
      <c r="A7" s="31"/>
      <c r="B7" s="40"/>
      <c r="C7" s="33"/>
      <c r="D7" s="22" t="s">
        <v>6</v>
      </c>
      <c r="E7" s="22" t="s">
        <v>148</v>
      </c>
      <c r="F7" s="22" t="s">
        <v>149</v>
      </c>
      <c r="G7" s="22" t="s">
        <v>150</v>
      </c>
      <c r="H7" s="22" t="s">
        <v>160</v>
      </c>
      <c r="I7" s="22" t="s">
        <v>161</v>
      </c>
      <c r="J7" s="22" t="s">
        <v>162</v>
      </c>
      <c r="K7" s="19" t="s">
        <v>166</v>
      </c>
    </row>
    <row r="8" spans="1:11" ht="27" customHeight="1" x14ac:dyDescent="0.3">
      <c r="A8" s="4">
        <v>1</v>
      </c>
      <c r="B8" s="6" t="s">
        <v>54</v>
      </c>
      <c r="C8" s="5" t="s">
        <v>0</v>
      </c>
      <c r="D8" s="1">
        <v>0.28999999999999998</v>
      </c>
      <c r="E8" s="1">
        <v>0.2</v>
      </c>
      <c r="F8" s="1">
        <v>0.15</v>
      </c>
      <c r="G8" s="1"/>
      <c r="H8" s="1"/>
      <c r="I8" s="1"/>
      <c r="J8" s="1">
        <v>0.4</v>
      </c>
      <c r="K8" s="13">
        <f>SUM(D8:J8)/$I$3</f>
        <v>0.14857142857142858</v>
      </c>
    </row>
    <row r="9" spans="1:11" ht="27" customHeight="1" x14ac:dyDescent="0.3">
      <c r="A9" s="4">
        <v>2</v>
      </c>
      <c r="B9" s="7" t="s">
        <v>55</v>
      </c>
      <c r="C9" s="3" t="s">
        <v>56</v>
      </c>
      <c r="D9" s="1">
        <v>0.6</v>
      </c>
      <c r="E9" s="1">
        <v>0.8</v>
      </c>
      <c r="F9" s="1">
        <v>0.75</v>
      </c>
      <c r="G9" s="1"/>
      <c r="H9" s="1"/>
      <c r="I9" s="1">
        <v>0.95</v>
      </c>
      <c r="J9" s="1">
        <v>0.5</v>
      </c>
      <c r="K9" s="13">
        <f t="shared" ref="K9:K15" si="0">SUM(D9:J9)/$I$3</f>
        <v>0.51428571428571423</v>
      </c>
    </row>
    <row r="10" spans="1:11" ht="27" customHeight="1" x14ac:dyDescent="0.3">
      <c r="A10" s="4"/>
      <c r="B10" s="6"/>
      <c r="C10" s="5"/>
      <c r="D10" s="1"/>
      <c r="E10" s="1"/>
      <c r="F10" s="1"/>
      <c r="G10" s="1"/>
      <c r="H10" s="1"/>
      <c r="I10" s="1"/>
      <c r="J10" s="1"/>
      <c r="K10" s="13">
        <f t="shared" si="0"/>
        <v>0</v>
      </c>
    </row>
    <row r="11" spans="1:11" ht="27" customHeight="1" x14ac:dyDescent="0.3">
      <c r="A11" s="4"/>
      <c r="B11" s="6"/>
      <c r="C11" s="5"/>
      <c r="D11" s="1"/>
      <c r="E11" s="1"/>
      <c r="F11" s="1"/>
      <c r="G11" s="1"/>
      <c r="H11" s="1"/>
      <c r="I11" s="1"/>
      <c r="J11" s="1"/>
      <c r="K11" s="13">
        <f t="shared" ref="K11" si="1">SUM(D11:J11)/$I$3</f>
        <v>0</v>
      </c>
    </row>
    <row r="12" spans="1:11" ht="27" customHeight="1" x14ac:dyDescent="0.3">
      <c r="A12" s="4"/>
      <c r="B12" s="6"/>
      <c r="C12" s="5"/>
      <c r="D12" s="1"/>
      <c r="E12" s="1"/>
      <c r="F12" s="1"/>
      <c r="G12" s="1"/>
      <c r="H12" s="1"/>
      <c r="I12" s="1"/>
      <c r="J12" s="1"/>
      <c r="K12" s="13">
        <f t="shared" si="0"/>
        <v>0</v>
      </c>
    </row>
    <row r="13" spans="1:11" ht="27" customHeight="1" x14ac:dyDescent="0.3">
      <c r="A13" s="4"/>
      <c r="B13" s="6"/>
      <c r="C13" s="5"/>
      <c r="D13" s="1"/>
      <c r="E13" s="1"/>
      <c r="F13" s="1"/>
      <c r="G13" s="1"/>
      <c r="H13" s="1"/>
      <c r="I13" s="1"/>
      <c r="J13" s="1"/>
      <c r="K13" s="13">
        <f t="shared" si="0"/>
        <v>0</v>
      </c>
    </row>
    <row r="14" spans="1:11" ht="27" customHeight="1" x14ac:dyDescent="0.3">
      <c r="A14" s="4"/>
      <c r="B14" s="6"/>
      <c r="C14" s="5"/>
      <c r="D14" s="1"/>
      <c r="E14" s="1"/>
      <c r="F14" s="1"/>
      <c r="G14" s="1"/>
      <c r="H14" s="1"/>
      <c r="I14" s="1"/>
      <c r="J14" s="1"/>
      <c r="K14" s="13">
        <f t="shared" si="0"/>
        <v>0</v>
      </c>
    </row>
    <row r="15" spans="1:11" ht="27" customHeight="1" x14ac:dyDescent="0.3">
      <c r="A15" s="4"/>
      <c r="B15" s="6"/>
      <c r="C15" s="5" t="s">
        <v>154</v>
      </c>
      <c r="D15" s="1">
        <v>0.11</v>
      </c>
      <c r="E15" s="1">
        <v>0</v>
      </c>
      <c r="F15" s="1">
        <v>0.1</v>
      </c>
      <c r="G15" s="1">
        <v>1</v>
      </c>
      <c r="H15" s="1">
        <v>1</v>
      </c>
      <c r="I15" s="1">
        <v>0.05</v>
      </c>
      <c r="J15" s="1">
        <v>0.1</v>
      </c>
      <c r="K15" s="13">
        <f t="shared" si="0"/>
        <v>0.33714285714285713</v>
      </c>
    </row>
    <row r="16" spans="1:11" ht="33" customHeight="1" x14ac:dyDescent="0.3">
      <c r="A16" s="37" t="s">
        <v>152</v>
      </c>
      <c r="B16" s="38"/>
      <c r="C16" s="39"/>
      <c r="D16" s="20">
        <f t="shared" ref="D16:K16" si="2">SUM(D8:D15)</f>
        <v>0.99999999999999989</v>
      </c>
      <c r="E16" s="20">
        <f t="shared" si="2"/>
        <v>1</v>
      </c>
      <c r="F16" s="20">
        <f t="shared" si="2"/>
        <v>1</v>
      </c>
      <c r="G16" s="20">
        <f t="shared" si="2"/>
        <v>1</v>
      </c>
      <c r="H16" s="20">
        <f t="shared" si="2"/>
        <v>1</v>
      </c>
      <c r="I16" s="20">
        <f t="shared" si="2"/>
        <v>1</v>
      </c>
      <c r="J16" s="20">
        <f t="shared" si="2"/>
        <v>1</v>
      </c>
      <c r="K16" s="20">
        <f t="shared" si="2"/>
        <v>1</v>
      </c>
    </row>
    <row r="17" spans="1:1" ht="7.5" customHeight="1" x14ac:dyDescent="0.3"/>
    <row r="18" spans="1:1" ht="25.5" customHeight="1" x14ac:dyDescent="0.3">
      <c r="A18" s="23" t="s">
        <v>169</v>
      </c>
    </row>
    <row r="19" spans="1:1" ht="25.5" customHeight="1" x14ac:dyDescent="0.3">
      <c r="A19" s="23" t="s">
        <v>158</v>
      </c>
    </row>
    <row r="20" spans="1:1" ht="25.5" customHeight="1" x14ac:dyDescent="0.3">
      <c r="A20" s="23" t="s">
        <v>159</v>
      </c>
    </row>
    <row r="21" spans="1:1" ht="25.5" customHeight="1" x14ac:dyDescent="0.3"/>
    <row r="22" spans="1:1" ht="25.5" customHeight="1" x14ac:dyDescent="0.3"/>
  </sheetData>
  <mergeCells count="6">
    <mergeCell ref="A16:C16"/>
    <mergeCell ref="A2:K2"/>
    <mergeCell ref="A6:A7"/>
    <mergeCell ref="B6:B7"/>
    <mergeCell ref="C6:C7"/>
    <mergeCell ref="D6:K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5C93-F40F-419D-B8EE-3E98EEFDADEC}">
  <sheetPr>
    <pageSetUpPr fitToPage="1"/>
  </sheetPr>
  <dimension ref="A1:C148"/>
  <sheetViews>
    <sheetView showGridLines="0" topLeftCell="A55" workbookViewId="0">
      <selection activeCell="B79" sqref="B79"/>
    </sheetView>
  </sheetViews>
  <sheetFormatPr defaultColWidth="11.5" defaultRowHeight="11.25" x14ac:dyDescent="0.15"/>
  <cols>
    <col min="1" max="1" width="10" style="27" customWidth="1"/>
    <col min="2" max="2" width="42.25" style="9" customWidth="1"/>
    <col min="3" max="3" width="20.875" style="9" customWidth="1"/>
    <col min="4" max="16384" width="11.5" style="9"/>
  </cols>
  <sheetData>
    <row r="1" spans="1:3" ht="18.75" customHeight="1" x14ac:dyDescent="0.15">
      <c r="A1" s="8" t="s">
        <v>8</v>
      </c>
      <c r="B1" s="8" t="s">
        <v>9</v>
      </c>
      <c r="C1" s="8" t="s">
        <v>10</v>
      </c>
    </row>
    <row r="2" spans="1:3" x14ac:dyDescent="0.15">
      <c r="A2" s="28" t="s">
        <v>333</v>
      </c>
      <c r="B2" s="10" t="s">
        <v>332</v>
      </c>
      <c r="C2" s="10" t="s">
        <v>13</v>
      </c>
    </row>
    <row r="3" spans="1:3" x14ac:dyDescent="0.15">
      <c r="A3" s="28" t="s">
        <v>331</v>
      </c>
      <c r="B3" s="10" t="s">
        <v>330</v>
      </c>
      <c r="C3" s="10" t="s">
        <v>13</v>
      </c>
    </row>
    <row r="4" spans="1:3" x14ac:dyDescent="0.15">
      <c r="A4" s="28" t="s">
        <v>329</v>
      </c>
      <c r="B4" s="10" t="s">
        <v>328</v>
      </c>
      <c r="C4" s="10" t="s">
        <v>13</v>
      </c>
    </row>
    <row r="5" spans="1:3" x14ac:dyDescent="0.15">
      <c r="A5" s="28" t="s">
        <v>327</v>
      </c>
      <c r="B5" s="10" t="s">
        <v>58</v>
      </c>
      <c r="C5" s="10" t="s">
        <v>13</v>
      </c>
    </row>
    <row r="6" spans="1:3" x14ac:dyDescent="0.15">
      <c r="A6" s="28" t="s">
        <v>326</v>
      </c>
      <c r="B6" s="10" t="s">
        <v>325</v>
      </c>
      <c r="C6" s="10" t="s">
        <v>13</v>
      </c>
    </row>
    <row r="7" spans="1:3" x14ac:dyDescent="0.15">
      <c r="A7" s="28" t="s">
        <v>324</v>
      </c>
      <c r="B7" s="10" t="s">
        <v>323</v>
      </c>
      <c r="C7" s="10" t="s">
        <v>13</v>
      </c>
    </row>
    <row r="8" spans="1:3" x14ac:dyDescent="0.15">
      <c r="A8" s="28" t="s">
        <v>322</v>
      </c>
      <c r="B8" s="10" t="s">
        <v>53</v>
      </c>
      <c r="C8" s="10" t="s">
        <v>13</v>
      </c>
    </row>
    <row r="9" spans="1:3" x14ac:dyDescent="0.15">
      <c r="A9" s="28" t="s">
        <v>321</v>
      </c>
      <c r="B9" s="10" t="s">
        <v>320</v>
      </c>
      <c r="C9" s="10" t="s">
        <v>13</v>
      </c>
    </row>
    <row r="10" spans="1:3" x14ac:dyDescent="0.15">
      <c r="A10" s="28" t="s">
        <v>319</v>
      </c>
      <c r="B10" s="10" t="s">
        <v>318</v>
      </c>
      <c r="C10" s="10" t="s">
        <v>13</v>
      </c>
    </row>
    <row r="11" spans="1:3" x14ac:dyDescent="0.15">
      <c r="A11" s="28" t="s">
        <v>317</v>
      </c>
      <c r="B11" s="10" t="s">
        <v>316</v>
      </c>
      <c r="C11" s="10" t="s">
        <v>13</v>
      </c>
    </row>
    <row r="12" spans="1:3" x14ac:dyDescent="0.15">
      <c r="A12" s="28" t="s">
        <v>315</v>
      </c>
      <c r="B12" s="10" t="s">
        <v>314</v>
      </c>
      <c r="C12" s="10" t="s">
        <v>13</v>
      </c>
    </row>
    <row r="13" spans="1:3" x14ac:dyDescent="0.15">
      <c r="A13" s="28" t="s">
        <v>313</v>
      </c>
      <c r="B13" s="10" t="s">
        <v>312</v>
      </c>
      <c r="C13" s="10" t="s">
        <v>13</v>
      </c>
    </row>
    <row r="14" spans="1:3" x14ac:dyDescent="0.15">
      <c r="A14" s="28" t="s">
        <v>311</v>
      </c>
      <c r="B14" s="10" t="s">
        <v>310</v>
      </c>
      <c r="C14" s="10" t="s">
        <v>13</v>
      </c>
    </row>
    <row r="15" spans="1:3" x14ac:dyDescent="0.15">
      <c r="A15" s="28" t="s">
        <v>309</v>
      </c>
      <c r="B15" s="10" t="s">
        <v>308</v>
      </c>
      <c r="C15" s="10" t="s">
        <v>13</v>
      </c>
    </row>
    <row r="16" spans="1:3" x14ac:dyDescent="0.15">
      <c r="A16" s="28" t="s">
        <v>307</v>
      </c>
      <c r="B16" s="10" t="s">
        <v>306</v>
      </c>
      <c r="C16" s="10" t="s">
        <v>13</v>
      </c>
    </row>
    <row r="17" spans="1:3" x14ac:dyDescent="0.15">
      <c r="A17" s="28" t="s">
        <v>305</v>
      </c>
      <c r="B17" s="10" t="s">
        <v>304</v>
      </c>
      <c r="C17" s="10" t="s">
        <v>13</v>
      </c>
    </row>
    <row r="18" spans="1:3" x14ac:dyDescent="0.15">
      <c r="A18" s="28" t="s">
        <v>303</v>
      </c>
      <c r="B18" s="10" t="s">
        <v>302</v>
      </c>
      <c r="C18" s="10" t="s">
        <v>13</v>
      </c>
    </row>
    <row r="19" spans="1:3" x14ac:dyDescent="0.15">
      <c r="A19" s="28" t="s">
        <v>301</v>
      </c>
      <c r="B19" s="10" t="s">
        <v>300</v>
      </c>
      <c r="C19" s="10" t="s">
        <v>13</v>
      </c>
    </row>
    <row r="20" spans="1:3" x14ac:dyDescent="0.15">
      <c r="A20" s="28" t="s">
        <v>299</v>
      </c>
      <c r="B20" s="10" t="s">
        <v>57</v>
      </c>
      <c r="C20" s="10" t="s">
        <v>13</v>
      </c>
    </row>
    <row r="21" spans="1:3" x14ac:dyDescent="0.15">
      <c r="A21" s="28" t="s">
        <v>298</v>
      </c>
      <c r="B21" s="10" t="s">
        <v>297</v>
      </c>
      <c r="C21" s="10" t="s">
        <v>13</v>
      </c>
    </row>
    <row r="22" spans="1:3" x14ac:dyDescent="0.15">
      <c r="A22" s="28" t="s">
        <v>296</v>
      </c>
      <c r="B22" s="10" t="s">
        <v>94</v>
      </c>
      <c r="C22" s="10" t="s">
        <v>13</v>
      </c>
    </row>
    <row r="23" spans="1:3" x14ac:dyDescent="0.15">
      <c r="A23" s="28" t="s">
        <v>295</v>
      </c>
      <c r="B23" s="10" t="s">
        <v>294</v>
      </c>
      <c r="C23" s="10" t="s">
        <v>13</v>
      </c>
    </row>
    <row r="24" spans="1:3" x14ac:dyDescent="0.15">
      <c r="A24" s="28" t="s">
        <v>293</v>
      </c>
      <c r="B24" s="10" t="s">
        <v>292</v>
      </c>
      <c r="C24" s="10" t="s">
        <v>13</v>
      </c>
    </row>
    <row r="25" spans="1:3" x14ac:dyDescent="0.15">
      <c r="A25" s="28" t="s">
        <v>291</v>
      </c>
      <c r="B25" s="10" t="s">
        <v>290</v>
      </c>
      <c r="C25" s="10" t="s">
        <v>13</v>
      </c>
    </row>
    <row r="26" spans="1:3" x14ac:dyDescent="0.15">
      <c r="A26" s="28" t="s">
        <v>289</v>
      </c>
      <c r="B26" s="10" t="s">
        <v>288</v>
      </c>
      <c r="C26" s="10" t="s">
        <v>13</v>
      </c>
    </row>
    <row r="27" spans="1:3" x14ac:dyDescent="0.15">
      <c r="A27" s="28" t="s">
        <v>287</v>
      </c>
      <c r="B27" s="10" t="s">
        <v>286</v>
      </c>
      <c r="C27" s="10" t="s">
        <v>13</v>
      </c>
    </row>
    <row r="28" spans="1:3" x14ac:dyDescent="0.15">
      <c r="A28" s="28" t="s">
        <v>285</v>
      </c>
      <c r="B28" s="10" t="s">
        <v>284</v>
      </c>
      <c r="C28" s="10" t="s">
        <v>13</v>
      </c>
    </row>
    <row r="29" spans="1:3" x14ac:dyDescent="0.15">
      <c r="A29" s="28" t="s">
        <v>283</v>
      </c>
      <c r="B29" s="10" t="s">
        <v>282</v>
      </c>
      <c r="C29" s="10" t="s">
        <v>13</v>
      </c>
    </row>
    <row r="30" spans="1:3" x14ac:dyDescent="0.15">
      <c r="A30" s="28" t="s">
        <v>281</v>
      </c>
      <c r="B30" s="10" t="s">
        <v>280</v>
      </c>
      <c r="C30" s="10" t="s">
        <v>13</v>
      </c>
    </row>
    <row r="31" spans="1:3" x14ac:dyDescent="0.15">
      <c r="A31" s="28" t="s">
        <v>279</v>
      </c>
      <c r="B31" s="10" t="s">
        <v>278</v>
      </c>
      <c r="C31" s="10" t="s">
        <v>13</v>
      </c>
    </row>
    <row r="32" spans="1:3" x14ac:dyDescent="0.15">
      <c r="A32" s="28" t="s">
        <v>277</v>
      </c>
      <c r="B32" s="10" t="s">
        <v>276</v>
      </c>
      <c r="C32" s="10" t="s">
        <v>13</v>
      </c>
    </row>
    <row r="33" spans="1:3" x14ac:dyDescent="0.15">
      <c r="A33" s="28" t="s">
        <v>275</v>
      </c>
      <c r="B33" s="10" t="s">
        <v>274</v>
      </c>
      <c r="C33" s="10" t="s">
        <v>13</v>
      </c>
    </row>
    <row r="34" spans="1:3" x14ac:dyDescent="0.15">
      <c r="A34" s="28" t="s">
        <v>273</v>
      </c>
      <c r="B34" s="10" t="s">
        <v>272</v>
      </c>
      <c r="C34" s="10" t="s">
        <v>13</v>
      </c>
    </row>
    <row r="35" spans="1:3" x14ac:dyDescent="0.15">
      <c r="A35" s="28" t="s">
        <v>271</v>
      </c>
      <c r="B35" s="10" t="s">
        <v>270</v>
      </c>
      <c r="C35" s="10" t="s">
        <v>13</v>
      </c>
    </row>
    <row r="36" spans="1:3" x14ac:dyDescent="0.15">
      <c r="A36" s="28" t="s">
        <v>11</v>
      </c>
      <c r="B36" s="10" t="s">
        <v>12</v>
      </c>
      <c r="C36" s="10" t="s">
        <v>13</v>
      </c>
    </row>
    <row r="37" spans="1:3" x14ac:dyDescent="0.15">
      <c r="A37" s="28" t="s">
        <v>14</v>
      </c>
      <c r="B37" s="10" t="s">
        <v>15</v>
      </c>
      <c r="C37" s="10" t="s">
        <v>13</v>
      </c>
    </row>
    <row r="38" spans="1:3" x14ac:dyDescent="0.15">
      <c r="A38" s="28" t="s">
        <v>16</v>
      </c>
      <c r="B38" s="10" t="s">
        <v>17</v>
      </c>
      <c r="C38" s="10" t="s">
        <v>13</v>
      </c>
    </row>
    <row r="39" spans="1:3" x14ac:dyDescent="0.15">
      <c r="A39" s="28" t="s">
        <v>18</v>
      </c>
      <c r="B39" s="10" t="s">
        <v>19</v>
      </c>
      <c r="C39" s="10" t="s">
        <v>13</v>
      </c>
    </row>
    <row r="40" spans="1:3" x14ac:dyDescent="0.15">
      <c r="A40" s="28" t="s">
        <v>20</v>
      </c>
      <c r="B40" s="10" t="s">
        <v>21</v>
      </c>
      <c r="C40" s="10" t="s">
        <v>13</v>
      </c>
    </row>
    <row r="41" spans="1:3" x14ac:dyDescent="0.15">
      <c r="A41" s="28" t="s">
        <v>269</v>
      </c>
      <c r="B41" s="10" t="s">
        <v>268</v>
      </c>
      <c r="C41" s="10" t="s">
        <v>13</v>
      </c>
    </row>
    <row r="42" spans="1:3" x14ac:dyDescent="0.15">
      <c r="A42" s="28" t="s">
        <v>267</v>
      </c>
      <c r="B42" s="10" t="s">
        <v>266</v>
      </c>
      <c r="C42" s="10" t="s">
        <v>13</v>
      </c>
    </row>
    <row r="43" spans="1:3" x14ac:dyDescent="0.15">
      <c r="A43" s="28" t="s">
        <v>22</v>
      </c>
      <c r="B43" s="10" t="s">
        <v>23</v>
      </c>
      <c r="C43" s="10" t="s">
        <v>13</v>
      </c>
    </row>
    <row r="44" spans="1:3" x14ac:dyDescent="0.15">
      <c r="A44" s="28" t="s">
        <v>24</v>
      </c>
      <c r="B44" s="10" t="s">
        <v>25</v>
      </c>
      <c r="C44" s="10" t="s">
        <v>13</v>
      </c>
    </row>
    <row r="45" spans="1:3" x14ac:dyDescent="0.15">
      <c r="A45" s="28" t="s">
        <v>26</v>
      </c>
      <c r="B45" s="10" t="s">
        <v>27</v>
      </c>
      <c r="C45" s="10" t="s">
        <v>13</v>
      </c>
    </row>
    <row r="46" spans="1:3" x14ac:dyDescent="0.15">
      <c r="A46" s="28" t="s">
        <v>28</v>
      </c>
      <c r="B46" s="10" t="s">
        <v>29</v>
      </c>
      <c r="C46" s="10" t="s">
        <v>13</v>
      </c>
    </row>
    <row r="47" spans="1:3" x14ac:dyDescent="0.15">
      <c r="A47" s="28" t="s">
        <v>30</v>
      </c>
      <c r="B47" s="10" t="s">
        <v>31</v>
      </c>
      <c r="C47" s="10" t="s">
        <v>13</v>
      </c>
    </row>
    <row r="48" spans="1:3" x14ac:dyDescent="0.15">
      <c r="A48" s="28" t="s">
        <v>32</v>
      </c>
      <c r="B48" s="10" t="s">
        <v>33</v>
      </c>
      <c r="C48" s="10" t="s">
        <v>13</v>
      </c>
    </row>
    <row r="49" spans="1:3" x14ac:dyDescent="0.15">
      <c r="A49" s="28" t="s">
        <v>34</v>
      </c>
      <c r="B49" s="10" t="s">
        <v>35</v>
      </c>
      <c r="C49" s="10" t="s">
        <v>13</v>
      </c>
    </row>
    <row r="50" spans="1:3" x14ac:dyDescent="0.15">
      <c r="A50" s="28" t="s">
        <v>36</v>
      </c>
      <c r="B50" s="10" t="s">
        <v>37</v>
      </c>
      <c r="C50" s="10" t="s">
        <v>13</v>
      </c>
    </row>
    <row r="51" spans="1:3" x14ac:dyDescent="0.15">
      <c r="A51" s="28" t="s">
        <v>38</v>
      </c>
      <c r="B51" s="10" t="s">
        <v>39</v>
      </c>
      <c r="C51" s="10" t="s">
        <v>13</v>
      </c>
    </row>
    <row r="52" spans="1:3" x14ac:dyDescent="0.15">
      <c r="A52" s="28" t="s">
        <v>40</v>
      </c>
      <c r="B52" s="10" t="s">
        <v>41</v>
      </c>
      <c r="C52" s="10" t="s">
        <v>13</v>
      </c>
    </row>
    <row r="53" spans="1:3" x14ac:dyDescent="0.15">
      <c r="A53" s="28" t="s">
        <v>42</v>
      </c>
      <c r="B53" s="10" t="s">
        <v>43</v>
      </c>
      <c r="C53" s="10" t="s">
        <v>13</v>
      </c>
    </row>
    <row r="54" spans="1:3" x14ac:dyDescent="0.15">
      <c r="A54" s="28" t="s">
        <v>44</v>
      </c>
      <c r="B54" s="10" t="s">
        <v>45</v>
      </c>
      <c r="C54" s="10" t="s">
        <v>13</v>
      </c>
    </row>
    <row r="55" spans="1:3" x14ac:dyDescent="0.15">
      <c r="A55" s="28" t="s">
        <v>46</v>
      </c>
      <c r="B55" s="10" t="s">
        <v>265</v>
      </c>
      <c r="C55" s="10" t="s">
        <v>13</v>
      </c>
    </row>
    <row r="56" spans="1:3" x14ac:dyDescent="0.15">
      <c r="A56" s="28" t="s">
        <v>264</v>
      </c>
      <c r="B56" s="10" t="s">
        <v>263</v>
      </c>
      <c r="C56" s="10" t="s">
        <v>13</v>
      </c>
    </row>
    <row r="57" spans="1:3" x14ac:dyDescent="0.15">
      <c r="A57" s="28" t="s">
        <v>262</v>
      </c>
      <c r="B57" s="10" t="s">
        <v>261</v>
      </c>
      <c r="C57" s="10" t="s">
        <v>13</v>
      </c>
    </row>
    <row r="58" spans="1:3" x14ac:dyDescent="0.15">
      <c r="A58" s="28" t="s">
        <v>260</v>
      </c>
      <c r="B58" s="10" t="s">
        <v>259</v>
      </c>
      <c r="C58" s="10" t="s">
        <v>13</v>
      </c>
    </row>
    <row r="59" spans="1:3" x14ac:dyDescent="0.15">
      <c r="A59" s="28" t="s">
        <v>258</v>
      </c>
      <c r="B59" s="10" t="s">
        <v>257</v>
      </c>
      <c r="C59" s="10" t="s">
        <v>13</v>
      </c>
    </row>
    <row r="60" spans="1:3" x14ac:dyDescent="0.15">
      <c r="A60" s="28" t="s">
        <v>256</v>
      </c>
      <c r="B60" s="10" t="s">
        <v>255</v>
      </c>
      <c r="C60" s="10" t="s">
        <v>13</v>
      </c>
    </row>
    <row r="61" spans="1:3" x14ac:dyDescent="0.15">
      <c r="A61" s="28" t="s">
        <v>254</v>
      </c>
      <c r="B61" s="10" t="s">
        <v>253</v>
      </c>
      <c r="C61" s="10" t="s">
        <v>13</v>
      </c>
    </row>
    <row r="62" spans="1:3" x14ac:dyDescent="0.15">
      <c r="A62" s="28" t="s">
        <v>252</v>
      </c>
      <c r="B62" s="10" t="s">
        <v>251</v>
      </c>
      <c r="C62" s="10" t="s">
        <v>13</v>
      </c>
    </row>
    <row r="63" spans="1:3" x14ac:dyDescent="0.15">
      <c r="A63" s="28" t="s">
        <v>250</v>
      </c>
      <c r="B63" s="10" t="s">
        <v>249</v>
      </c>
      <c r="C63" s="10" t="s">
        <v>13</v>
      </c>
    </row>
    <row r="64" spans="1:3" x14ac:dyDescent="0.15">
      <c r="A64" s="28" t="s">
        <v>248</v>
      </c>
      <c r="B64" s="10" t="s">
        <v>247</v>
      </c>
      <c r="C64" s="10" t="s">
        <v>13</v>
      </c>
    </row>
    <row r="65" spans="1:3" x14ac:dyDescent="0.15">
      <c r="A65" s="28" t="s">
        <v>246</v>
      </c>
      <c r="B65" s="10" t="s">
        <v>245</v>
      </c>
      <c r="C65" s="10" t="s">
        <v>13</v>
      </c>
    </row>
    <row r="66" spans="1:3" x14ac:dyDescent="0.15">
      <c r="A66" s="28" t="s">
        <v>244</v>
      </c>
      <c r="B66" s="10" t="s">
        <v>243</v>
      </c>
      <c r="C66" s="10" t="s">
        <v>13</v>
      </c>
    </row>
    <row r="67" spans="1:3" x14ac:dyDescent="0.15">
      <c r="A67" s="28" t="s">
        <v>242</v>
      </c>
      <c r="B67" s="10" t="s">
        <v>241</v>
      </c>
      <c r="C67" s="10" t="s">
        <v>13</v>
      </c>
    </row>
    <row r="68" spans="1:3" x14ac:dyDescent="0.15">
      <c r="A68" s="28" t="s">
        <v>240</v>
      </c>
      <c r="B68" s="10" t="s">
        <v>239</v>
      </c>
      <c r="C68" s="10" t="s">
        <v>13</v>
      </c>
    </row>
    <row r="69" spans="1:3" x14ac:dyDescent="0.15">
      <c r="A69" s="28" t="s">
        <v>238</v>
      </c>
      <c r="B69" s="10" t="s">
        <v>237</v>
      </c>
      <c r="C69" s="10" t="s">
        <v>13</v>
      </c>
    </row>
    <row r="70" spans="1:3" x14ac:dyDescent="0.15">
      <c r="A70" s="28" t="s">
        <v>236</v>
      </c>
      <c r="B70" s="10" t="s">
        <v>235</v>
      </c>
      <c r="C70" s="10" t="s">
        <v>13</v>
      </c>
    </row>
    <row r="71" spans="1:3" x14ac:dyDescent="0.15">
      <c r="A71" s="28" t="s">
        <v>234</v>
      </c>
      <c r="B71" s="10" t="s">
        <v>233</v>
      </c>
      <c r="C71" s="10" t="s">
        <v>13</v>
      </c>
    </row>
    <row r="72" spans="1:3" x14ac:dyDescent="0.15">
      <c r="A72" s="28" t="s">
        <v>47</v>
      </c>
      <c r="B72" s="10" t="s">
        <v>48</v>
      </c>
      <c r="C72" s="10" t="s">
        <v>13</v>
      </c>
    </row>
    <row r="73" spans="1:3" x14ac:dyDescent="0.15">
      <c r="A73" s="28" t="s">
        <v>49</v>
      </c>
      <c r="B73" s="10" t="s">
        <v>50</v>
      </c>
      <c r="C73" s="10" t="s">
        <v>13</v>
      </c>
    </row>
    <row r="74" spans="1:3" x14ac:dyDescent="0.15">
      <c r="A74" s="28" t="s">
        <v>51</v>
      </c>
      <c r="B74" s="10" t="s">
        <v>52</v>
      </c>
      <c r="C74" s="10" t="s">
        <v>13</v>
      </c>
    </row>
    <row r="75" spans="1:3" x14ac:dyDescent="0.15">
      <c r="A75" s="28" t="s">
        <v>59</v>
      </c>
      <c r="B75" s="10" t="s">
        <v>60</v>
      </c>
      <c r="C75" s="10" t="s">
        <v>13</v>
      </c>
    </row>
    <row r="76" spans="1:3" x14ac:dyDescent="0.15">
      <c r="A76" s="28" t="s">
        <v>61</v>
      </c>
      <c r="B76" s="10" t="s">
        <v>62</v>
      </c>
      <c r="C76" s="10" t="s">
        <v>13</v>
      </c>
    </row>
    <row r="77" spans="1:3" x14ac:dyDescent="0.15">
      <c r="A77" s="28" t="s">
        <v>63</v>
      </c>
      <c r="B77" s="10" t="s">
        <v>64</v>
      </c>
      <c r="C77" s="10" t="s">
        <v>13</v>
      </c>
    </row>
    <row r="78" spans="1:3" x14ac:dyDescent="0.15">
      <c r="A78" s="28" t="s">
        <v>65</v>
      </c>
      <c r="B78" s="10" t="s">
        <v>66</v>
      </c>
      <c r="C78" s="10" t="s">
        <v>13</v>
      </c>
    </row>
    <row r="79" spans="1:3" x14ac:dyDescent="0.15">
      <c r="A79" s="28" t="s">
        <v>67</v>
      </c>
      <c r="B79" s="10" t="s">
        <v>68</v>
      </c>
      <c r="C79" s="10" t="s">
        <v>13</v>
      </c>
    </row>
    <row r="80" spans="1:3" x14ac:dyDescent="0.15">
      <c r="A80" s="28" t="s">
        <v>69</v>
      </c>
      <c r="B80" s="10" t="s">
        <v>232</v>
      </c>
      <c r="C80" s="10" t="s">
        <v>13</v>
      </c>
    </row>
    <row r="81" spans="1:3" x14ac:dyDescent="0.15">
      <c r="A81" s="28" t="s">
        <v>70</v>
      </c>
      <c r="B81" s="10" t="s">
        <v>71</v>
      </c>
      <c r="C81" s="10" t="s">
        <v>13</v>
      </c>
    </row>
    <row r="82" spans="1:3" x14ac:dyDescent="0.15">
      <c r="A82" s="28" t="s">
        <v>72</v>
      </c>
      <c r="B82" s="10" t="s">
        <v>73</v>
      </c>
      <c r="C82" s="10" t="s">
        <v>13</v>
      </c>
    </row>
    <row r="83" spans="1:3" x14ac:dyDescent="0.15">
      <c r="A83" s="28" t="s">
        <v>74</v>
      </c>
      <c r="B83" s="10" t="s">
        <v>75</v>
      </c>
      <c r="C83" s="10" t="s">
        <v>13</v>
      </c>
    </row>
    <row r="84" spans="1:3" x14ac:dyDescent="0.15">
      <c r="A84" s="28" t="s">
        <v>76</v>
      </c>
      <c r="B84" s="10" t="s">
        <v>77</v>
      </c>
      <c r="C84" s="10" t="s">
        <v>13</v>
      </c>
    </row>
    <row r="85" spans="1:3" x14ac:dyDescent="0.15">
      <c r="A85" s="28" t="s">
        <v>78</v>
      </c>
      <c r="B85" s="10" t="s">
        <v>79</v>
      </c>
      <c r="C85" s="10" t="s">
        <v>13</v>
      </c>
    </row>
    <row r="86" spans="1:3" x14ac:dyDescent="0.15">
      <c r="A86" s="28" t="s">
        <v>80</v>
      </c>
      <c r="B86" s="10" t="s">
        <v>81</v>
      </c>
      <c r="C86" s="10" t="s">
        <v>13</v>
      </c>
    </row>
    <row r="87" spans="1:3" x14ac:dyDescent="0.15">
      <c r="A87" s="28" t="s">
        <v>82</v>
      </c>
      <c r="B87" s="10" t="s">
        <v>83</v>
      </c>
      <c r="C87" s="10" t="s">
        <v>13</v>
      </c>
    </row>
    <row r="88" spans="1:3" x14ac:dyDescent="0.15">
      <c r="A88" s="28" t="s">
        <v>231</v>
      </c>
      <c r="B88" s="10" t="s">
        <v>230</v>
      </c>
      <c r="C88" s="10" t="s">
        <v>13</v>
      </c>
    </row>
    <row r="89" spans="1:3" x14ac:dyDescent="0.15">
      <c r="A89" s="28" t="s">
        <v>229</v>
      </c>
      <c r="B89" s="10" t="s">
        <v>228</v>
      </c>
      <c r="C89" s="10" t="s">
        <v>13</v>
      </c>
    </row>
    <row r="90" spans="1:3" x14ac:dyDescent="0.15">
      <c r="A90" s="28" t="s">
        <v>227</v>
      </c>
      <c r="B90" s="10" t="s">
        <v>226</v>
      </c>
      <c r="C90" s="10" t="s">
        <v>13</v>
      </c>
    </row>
    <row r="91" spans="1:3" x14ac:dyDescent="0.15">
      <c r="A91" s="28" t="s">
        <v>225</v>
      </c>
      <c r="B91" s="10" t="s">
        <v>224</v>
      </c>
      <c r="C91" s="10" t="s">
        <v>13</v>
      </c>
    </row>
    <row r="92" spans="1:3" x14ac:dyDescent="0.15">
      <c r="A92" s="28" t="s">
        <v>223</v>
      </c>
      <c r="B92" s="10" t="s">
        <v>222</v>
      </c>
      <c r="C92" s="10" t="s">
        <v>13</v>
      </c>
    </row>
    <row r="93" spans="1:3" x14ac:dyDescent="0.15">
      <c r="A93" s="28" t="s">
        <v>221</v>
      </c>
      <c r="B93" s="10" t="s">
        <v>220</v>
      </c>
      <c r="C93" s="10" t="s">
        <v>13</v>
      </c>
    </row>
    <row r="94" spans="1:3" x14ac:dyDescent="0.15">
      <c r="A94" s="28" t="s">
        <v>219</v>
      </c>
      <c r="B94" s="10" t="s">
        <v>218</v>
      </c>
      <c r="C94" s="10" t="s">
        <v>13</v>
      </c>
    </row>
    <row r="95" spans="1:3" x14ac:dyDescent="0.15">
      <c r="A95" s="28" t="s">
        <v>217</v>
      </c>
      <c r="B95" s="10" t="s">
        <v>216</v>
      </c>
      <c r="C95" s="10" t="s">
        <v>13</v>
      </c>
    </row>
    <row r="96" spans="1:3" x14ac:dyDescent="0.15">
      <c r="A96" s="28" t="s">
        <v>215</v>
      </c>
      <c r="B96" s="10" t="s">
        <v>214</v>
      </c>
      <c r="C96" s="10" t="s">
        <v>13</v>
      </c>
    </row>
    <row r="97" spans="1:3" x14ac:dyDescent="0.15">
      <c r="A97" s="28" t="s">
        <v>213</v>
      </c>
      <c r="B97" s="10" t="s">
        <v>212</v>
      </c>
      <c r="C97" s="10" t="s">
        <v>13</v>
      </c>
    </row>
    <row r="98" spans="1:3" x14ac:dyDescent="0.15">
      <c r="A98" s="28" t="s">
        <v>84</v>
      </c>
      <c r="B98" s="10" t="s">
        <v>85</v>
      </c>
      <c r="C98" s="10" t="s">
        <v>13</v>
      </c>
    </row>
    <row r="99" spans="1:3" x14ac:dyDescent="0.15">
      <c r="A99" s="28" t="s">
        <v>86</v>
      </c>
      <c r="B99" s="10" t="s">
        <v>87</v>
      </c>
      <c r="C99" s="10" t="s">
        <v>13</v>
      </c>
    </row>
    <row r="100" spans="1:3" x14ac:dyDescent="0.15">
      <c r="A100" s="28" t="s">
        <v>88</v>
      </c>
      <c r="B100" s="10" t="s">
        <v>89</v>
      </c>
      <c r="C100" s="10" t="s">
        <v>13</v>
      </c>
    </row>
    <row r="101" spans="1:3" x14ac:dyDescent="0.15">
      <c r="A101" s="28" t="s">
        <v>90</v>
      </c>
      <c r="B101" s="10" t="s">
        <v>91</v>
      </c>
      <c r="C101" s="10" t="s">
        <v>13</v>
      </c>
    </row>
    <row r="102" spans="1:3" x14ac:dyDescent="0.15">
      <c r="A102" s="28" t="s">
        <v>92</v>
      </c>
      <c r="B102" s="10" t="s">
        <v>93</v>
      </c>
      <c r="C102" s="10" t="s">
        <v>13</v>
      </c>
    </row>
    <row r="103" spans="1:3" x14ac:dyDescent="0.15">
      <c r="A103" s="28" t="s">
        <v>211</v>
      </c>
      <c r="B103" s="10" t="s">
        <v>210</v>
      </c>
      <c r="C103" s="10" t="s">
        <v>13</v>
      </c>
    </row>
    <row r="104" spans="1:3" x14ac:dyDescent="0.15">
      <c r="A104" s="28" t="s">
        <v>209</v>
      </c>
      <c r="B104" s="10" t="s">
        <v>208</v>
      </c>
      <c r="C104" s="10" t="s">
        <v>13</v>
      </c>
    </row>
    <row r="105" spans="1:3" x14ac:dyDescent="0.15">
      <c r="A105" s="28" t="s">
        <v>95</v>
      </c>
      <c r="B105" s="10" t="s">
        <v>96</v>
      </c>
      <c r="C105" s="10" t="s">
        <v>13</v>
      </c>
    </row>
    <row r="106" spans="1:3" x14ac:dyDescent="0.15">
      <c r="A106" s="28" t="s">
        <v>97</v>
      </c>
      <c r="B106" s="10" t="s">
        <v>98</v>
      </c>
      <c r="C106" s="10" t="s">
        <v>13</v>
      </c>
    </row>
    <row r="107" spans="1:3" x14ac:dyDescent="0.15">
      <c r="A107" s="28" t="s">
        <v>99</v>
      </c>
      <c r="B107" s="10" t="s">
        <v>100</v>
      </c>
      <c r="C107" s="10" t="s">
        <v>13</v>
      </c>
    </row>
    <row r="108" spans="1:3" x14ac:dyDescent="0.15">
      <c r="A108" s="28" t="s">
        <v>207</v>
      </c>
      <c r="B108" s="10" t="s">
        <v>206</v>
      </c>
      <c r="C108" s="10" t="s">
        <v>13</v>
      </c>
    </row>
    <row r="109" spans="1:3" x14ac:dyDescent="0.15">
      <c r="A109" s="28" t="s">
        <v>205</v>
      </c>
      <c r="B109" s="10" t="s">
        <v>204</v>
      </c>
      <c r="C109" s="10" t="s">
        <v>13</v>
      </c>
    </row>
    <row r="110" spans="1:3" x14ac:dyDescent="0.15">
      <c r="A110" s="28" t="s">
        <v>203</v>
      </c>
      <c r="B110" s="10" t="s">
        <v>202</v>
      </c>
      <c r="C110" s="10" t="s">
        <v>13</v>
      </c>
    </row>
    <row r="111" spans="1:3" x14ac:dyDescent="0.15">
      <c r="A111" s="28" t="s">
        <v>201</v>
      </c>
      <c r="B111" s="10" t="s">
        <v>200</v>
      </c>
      <c r="C111" s="10" t="s">
        <v>13</v>
      </c>
    </row>
    <row r="112" spans="1:3" x14ac:dyDescent="0.15">
      <c r="A112" s="28" t="s">
        <v>199</v>
      </c>
      <c r="B112" s="10" t="s">
        <v>198</v>
      </c>
      <c r="C112" s="10" t="s">
        <v>13</v>
      </c>
    </row>
    <row r="113" spans="1:3" x14ac:dyDescent="0.15">
      <c r="A113" s="28" t="s">
        <v>197</v>
      </c>
      <c r="B113" s="10" t="s">
        <v>196</v>
      </c>
      <c r="C113" s="10" t="s">
        <v>13</v>
      </c>
    </row>
    <row r="114" spans="1:3" x14ac:dyDescent="0.15">
      <c r="A114" s="28" t="s">
        <v>195</v>
      </c>
      <c r="B114" s="10" t="s">
        <v>194</v>
      </c>
      <c r="C114" s="10" t="s">
        <v>13</v>
      </c>
    </row>
    <row r="115" spans="1:3" x14ac:dyDescent="0.15">
      <c r="A115" s="28" t="s">
        <v>193</v>
      </c>
      <c r="B115" s="10" t="s">
        <v>192</v>
      </c>
      <c r="C115" s="10" t="s">
        <v>13</v>
      </c>
    </row>
    <row r="116" spans="1:3" x14ac:dyDescent="0.15">
      <c r="A116" s="28" t="s">
        <v>102</v>
      </c>
      <c r="B116" s="10" t="s">
        <v>103</v>
      </c>
      <c r="C116" s="10" t="s">
        <v>13</v>
      </c>
    </row>
    <row r="117" spans="1:3" x14ac:dyDescent="0.15">
      <c r="A117" s="28" t="s">
        <v>104</v>
      </c>
      <c r="B117" s="10" t="s">
        <v>105</v>
      </c>
      <c r="C117" s="10" t="s">
        <v>13</v>
      </c>
    </row>
    <row r="118" spans="1:3" x14ac:dyDescent="0.15">
      <c r="A118" s="28" t="s">
        <v>106</v>
      </c>
      <c r="B118" s="10" t="s">
        <v>107</v>
      </c>
      <c r="C118" s="10" t="s">
        <v>13</v>
      </c>
    </row>
    <row r="119" spans="1:3" x14ac:dyDescent="0.15">
      <c r="A119" s="28" t="s">
        <v>191</v>
      </c>
      <c r="B119" s="10" t="s">
        <v>190</v>
      </c>
      <c r="C119" s="10" t="s">
        <v>13</v>
      </c>
    </row>
    <row r="120" spans="1:3" x14ac:dyDescent="0.15">
      <c r="A120" s="28" t="s">
        <v>189</v>
      </c>
      <c r="B120" s="10" t="s">
        <v>188</v>
      </c>
      <c r="C120" s="10" t="s">
        <v>13</v>
      </c>
    </row>
    <row r="121" spans="1:3" x14ac:dyDescent="0.15">
      <c r="A121" s="28" t="s">
        <v>108</v>
      </c>
      <c r="B121" s="10" t="s">
        <v>109</v>
      </c>
      <c r="C121" s="10" t="s">
        <v>13</v>
      </c>
    </row>
    <row r="122" spans="1:3" x14ac:dyDescent="0.15">
      <c r="A122" s="28" t="s">
        <v>110</v>
      </c>
      <c r="B122" s="10" t="s">
        <v>111</v>
      </c>
      <c r="C122" s="10" t="s">
        <v>13</v>
      </c>
    </row>
    <row r="123" spans="1:3" x14ac:dyDescent="0.15">
      <c r="A123" s="28" t="s">
        <v>112</v>
      </c>
      <c r="B123" s="10" t="s">
        <v>113</v>
      </c>
      <c r="C123" s="10" t="s">
        <v>13</v>
      </c>
    </row>
    <row r="124" spans="1:3" x14ac:dyDescent="0.15">
      <c r="A124" s="28" t="s">
        <v>187</v>
      </c>
      <c r="B124" s="10" t="s">
        <v>186</v>
      </c>
      <c r="C124" s="10" t="s">
        <v>13</v>
      </c>
    </row>
    <row r="125" spans="1:3" x14ac:dyDescent="0.15">
      <c r="A125" s="28" t="s">
        <v>185</v>
      </c>
      <c r="B125" s="10" t="s">
        <v>184</v>
      </c>
      <c r="C125" s="10" t="s">
        <v>13</v>
      </c>
    </row>
    <row r="126" spans="1:3" x14ac:dyDescent="0.15">
      <c r="A126" s="28" t="s">
        <v>114</v>
      </c>
      <c r="B126" s="10" t="s">
        <v>115</v>
      </c>
      <c r="C126" s="10" t="s">
        <v>13</v>
      </c>
    </row>
    <row r="127" spans="1:3" x14ac:dyDescent="0.15">
      <c r="A127" s="28" t="s">
        <v>183</v>
      </c>
      <c r="B127" s="10" t="s">
        <v>182</v>
      </c>
      <c r="C127" s="10" t="s">
        <v>13</v>
      </c>
    </row>
    <row r="128" spans="1:3" x14ac:dyDescent="0.15">
      <c r="A128" s="28" t="s">
        <v>181</v>
      </c>
      <c r="B128" s="10" t="s">
        <v>180</v>
      </c>
      <c r="C128" s="10" t="s">
        <v>13</v>
      </c>
    </row>
    <row r="129" spans="1:3" x14ac:dyDescent="0.15">
      <c r="A129" s="28" t="s">
        <v>116</v>
      </c>
      <c r="B129" s="10" t="s">
        <v>117</v>
      </c>
      <c r="C129" s="10" t="s">
        <v>13</v>
      </c>
    </row>
    <row r="130" spans="1:3" x14ac:dyDescent="0.15">
      <c r="A130" s="28" t="s">
        <v>118</v>
      </c>
      <c r="B130" s="10" t="s">
        <v>119</v>
      </c>
      <c r="C130" s="10" t="s">
        <v>13</v>
      </c>
    </row>
    <row r="131" spans="1:3" x14ac:dyDescent="0.15">
      <c r="A131" s="28" t="s">
        <v>120</v>
      </c>
      <c r="B131" s="10" t="s">
        <v>121</v>
      </c>
      <c r="C131" s="10" t="s">
        <v>13</v>
      </c>
    </row>
    <row r="132" spans="1:3" x14ac:dyDescent="0.15">
      <c r="A132" s="28" t="s">
        <v>122</v>
      </c>
      <c r="B132" s="10" t="s">
        <v>123</v>
      </c>
      <c r="C132" s="10" t="s">
        <v>13</v>
      </c>
    </row>
    <row r="133" spans="1:3" x14ac:dyDescent="0.15">
      <c r="A133" s="28" t="s">
        <v>124</v>
      </c>
      <c r="B133" s="10" t="s">
        <v>125</v>
      </c>
      <c r="C133" s="10" t="s">
        <v>13</v>
      </c>
    </row>
    <row r="134" spans="1:3" x14ac:dyDescent="0.15">
      <c r="A134" s="28" t="s">
        <v>126</v>
      </c>
      <c r="B134" s="10" t="s">
        <v>127</v>
      </c>
      <c r="C134" s="10" t="s">
        <v>13</v>
      </c>
    </row>
    <row r="135" spans="1:3" x14ac:dyDescent="0.15">
      <c r="A135" s="28" t="s">
        <v>128</v>
      </c>
      <c r="B135" s="10" t="s">
        <v>129</v>
      </c>
      <c r="C135" s="10" t="s">
        <v>13</v>
      </c>
    </row>
    <row r="136" spans="1:3" x14ac:dyDescent="0.15">
      <c r="A136" s="28" t="s">
        <v>130</v>
      </c>
      <c r="B136" s="10" t="s">
        <v>131</v>
      </c>
      <c r="C136" s="10" t="s">
        <v>13</v>
      </c>
    </row>
    <row r="137" spans="1:3" x14ac:dyDescent="0.15">
      <c r="A137" s="28" t="s">
        <v>132</v>
      </c>
      <c r="B137" s="10" t="s">
        <v>133</v>
      </c>
      <c r="C137" s="10" t="s">
        <v>13</v>
      </c>
    </row>
    <row r="138" spans="1:3" x14ac:dyDescent="0.15">
      <c r="A138" s="28" t="s">
        <v>179</v>
      </c>
      <c r="B138" s="10" t="s">
        <v>178</v>
      </c>
      <c r="C138" s="10" t="s">
        <v>13</v>
      </c>
    </row>
    <row r="139" spans="1:3" x14ac:dyDescent="0.15">
      <c r="A139" s="28" t="s">
        <v>177</v>
      </c>
      <c r="B139" s="10" t="s">
        <v>176</v>
      </c>
      <c r="C139" s="10" t="s">
        <v>13</v>
      </c>
    </row>
    <row r="140" spans="1:3" x14ac:dyDescent="0.15">
      <c r="A140" s="28" t="s">
        <v>134</v>
      </c>
      <c r="B140" s="10" t="s">
        <v>135</v>
      </c>
      <c r="C140" s="10" t="s">
        <v>13</v>
      </c>
    </row>
    <row r="141" spans="1:3" x14ac:dyDescent="0.15">
      <c r="A141" s="28" t="s">
        <v>136</v>
      </c>
      <c r="B141" s="10" t="s">
        <v>137</v>
      </c>
      <c r="C141" s="10" t="s">
        <v>13</v>
      </c>
    </row>
    <row r="142" spans="1:3" x14ac:dyDescent="0.15">
      <c r="A142" s="28" t="s">
        <v>138</v>
      </c>
      <c r="B142" s="10" t="s">
        <v>139</v>
      </c>
      <c r="C142" s="10" t="s">
        <v>13</v>
      </c>
    </row>
    <row r="143" spans="1:3" x14ac:dyDescent="0.15">
      <c r="A143" s="28" t="s">
        <v>140</v>
      </c>
      <c r="B143" s="10" t="s">
        <v>141</v>
      </c>
      <c r="C143" s="10" t="s">
        <v>13</v>
      </c>
    </row>
    <row r="144" spans="1:3" x14ac:dyDescent="0.15">
      <c r="A144" s="28" t="s">
        <v>175</v>
      </c>
      <c r="B144" s="10" t="s">
        <v>174</v>
      </c>
      <c r="C144" s="10" t="s">
        <v>13</v>
      </c>
    </row>
    <row r="145" spans="1:3" x14ac:dyDescent="0.15">
      <c r="A145" s="28" t="s">
        <v>142</v>
      </c>
      <c r="B145" s="10" t="s">
        <v>143</v>
      </c>
      <c r="C145" s="10" t="s">
        <v>13</v>
      </c>
    </row>
    <row r="146" spans="1:3" x14ac:dyDescent="0.15">
      <c r="A146" s="28" t="s">
        <v>144</v>
      </c>
      <c r="B146" s="10" t="s">
        <v>145</v>
      </c>
      <c r="C146" s="10" t="s">
        <v>13</v>
      </c>
    </row>
    <row r="147" spans="1:3" x14ac:dyDescent="0.15">
      <c r="A147" s="28" t="s">
        <v>173</v>
      </c>
      <c r="B147" s="10" t="s">
        <v>172</v>
      </c>
      <c r="C147" s="10" t="s">
        <v>13</v>
      </c>
    </row>
    <row r="148" spans="1:3" x14ac:dyDescent="0.15">
      <c r="A148" s="28" t="s">
        <v>171</v>
      </c>
      <c r="B148" s="10" t="s">
        <v>101</v>
      </c>
      <c r="C148" s="10" t="s">
        <v>13</v>
      </c>
    </row>
  </sheetData>
  <phoneticPr fontId="2" type="noConversion"/>
  <pageMargins left="0.75" right="0.75" top="1" bottom="1" header="0.5" footer="0.5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개인별양식</vt:lpstr>
      <vt:lpstr>월별제출양식</vt:lpstr>
      <vt:lpstr>프로젝트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주일 전</dc:creator>
  <cp:lastModifiedBy>지훈 김</cp:lastModifiedBy>
  <dcterms:created xsi:type="dcterms:W3CDTF">2024-07-29T07:55:25Z</dcterms:created>
  <dcterms:modified xsi:type="dcterms:W3CDTF">2025-03-04T00:40:23Z</dcterms:modified>
</cp:coreProperties>
</file>